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l_e_i_-;\-* #,##0.00\ _l_e_i_-;_-* &quot;-&quot;??\ _l_e_i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color theme="1"/>
      <sz val="11"/>
    </font>
    <font>
      <name val="Times New Roman"/>
      <family val="1"/>
      <b val="1"/>
      <sz val="16"/>
    </font>
    <font>
      <name val="Times New Roman"/>
      <family val="1"/>
      <sz val="16"/>
    </font>
    <font>
      <name val="Times New Roman"/>
      <family val="1"/>
      <color theme="1"/>
      <sz val="16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color theme="1"/>
      <sz val="8"/>
    </font>
    <font>
      <name val="Times New Roman"/>
      <family val="1"/>
      <b val="1"/>
      <color theme="1"/>
      <sz val="8"/>
    </font>
  </fonts>
  <fills count="2">
    <fill>
      <patternFill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43" fontId="1" fillId="0" borderId="0"/>
    <xf numFmtId="164" fontId="1" fillId="0" borderId="0"/>
  </cellStyleXfs>
  <cellXfs count="109">
    <xf numFmtId="0" fontId="0" fillId="0" borderId="0" pivotButton="0" quotePrefix="0" xfId="0"/>
    <xf numFmtId="0" fontId="2" fillId="0" borderId="0" pivotButton="0" quotePrefix="0" xfId="0"/>
    <xf numFmtId="43" fontId="3" fillId="0" borderId="0" pivotButton="0" quotePrefix="0" xfId="1"/>
    <xf numFmtId="0" fontId="4" fillId="0" borderId="0" pivotButton="0" quotePrefix="0" xfId="0"/>
    <xf numFmtId="43" fontId="4" fillId="0" borderId="0" pivotButton="0" quotePrefix="0" xfId="1"/>
    <xf numFmtId="0" fontId="2" fillId="0" borderId="0" applyAlignment="1" pivotButton="0" quotePrefix="0" xfId="0">
      <alignment horizontal="center"/>
    </xf>
    <xf numFmtId="43" fontId="2" fillId="0" borderId="0" pivotButton="0" quotePrefix="0" xfId="1"/>
    <xf numFmtId="0" fontId="5" fillId="0" borderId="0" pivotButton="0" quotePrefix="0" xfId="0"/>
    <xf numFmtId="43" fontId="6" fillId="0" borderId="0" pivotButton="0" quotePrefix="0" xfId="1"/>
    <xf numFmtId="0" fontId="7" fillId="0" borderId="0" pivotButton="0" quotePrefix="0" xfId="0"/>
    <xf numFmtId="43" fontId="3" fillId="0" borderId="0" pivotButton="0" quotePrefix="0" xfId="1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2" fillId="0" borderId="4" pivotButton="0" quotePrefix="0" xfId="0"/>
    <xf numFmtId="164" fontId="2" fillId="0" borderId="5" pivotButton="0" quotePrefix="0" xfId="2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164" fontId="2" fillId="0" borderId="10" pivotButton="0" quotePrefix="0" xfId="2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164" fontId="2" fillId="0" borderId="14" pivotButton="0" quotePrefix="0" xfId="2"/>
    <xf numFmtId="0" fontId="2" fillId="0" borderId="15" pivotButton="0" quotePrefix="0" xfId="0"/>
    <xf numFmtId="43" fontId="2" fillId="0" borderId="16" pivotButton="0" quotePrefix="0" xfId="1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0" pivotButton="0" quotePrefix="0" xfId="0"/>
    <xf numFmtId="43" fontId="3" fillId="0" borderId="18" pivotButton="0" quotePrefix="0" xfId="1"/>
    <xf numFmtId="0" fontId="3" fillId="0" borderId="19" pivotButton="0" quotePrefix="0" xfId="0"/>
    <xf numFmtId="0" fontId="3" fillId="0" borderId="20" pivotButton="0" quotePrefix="0" xfId="0"/>
    <xf numFmtId="43" fontId="3" fillId="0" borderId="21" pivotButton="0" quotePrefix="0" xfId="1"/>
    <xf numFmtId="0" fontId="8" fillId="0" borderId="17" pivotButton="0" quotePrefix="0" xfId="0"/>
    <xf numFmtId="0" fontId="3" fillId="0" borderId="22" pivotButton="0" quotePrefix="0" xfId="0"/>
    <xf numFmtId="0" fontId="3" fillId="0" borderId="23" pivotButton="0" quotePrefix="0" xfId="0"/>
    <xf numFmtId="0" fontId="3" fillId="0" borderId="24" pivotButton="0" quotePrefix="0" xfId="0"/>
    <xf numFmtId="0" fontId="2" fillId="0" borderId="17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25" pivotButton="0" quotePrefix="0" xfId="0"/>
    <xf numFmtId="43" fontId="2" fillId="0" borderId="26" pivotButton="0" quotePrefix="0" xfId="1"/>
    <xf numFmtId="0" fontId="3" fillId="0" borderId="25" pivotButton="0" quotePrefix="0" xfId="0"/>
    <xf numFmtId="43" fontId="3" fillId="0" borderId="26" pivotButton="0" quotePrefix="0" xfId="1"/>
    <xf numFmtId="0" fontId="3" fillId="0" borderId="15" pivotButton="0" quotePrefix="0" xfId="0"/>
    <xf numFmtId="0" fontId="3" fillId="0" borderId="7" pivotButton="0" quotePrefix="0" xfId="0"/>
    <xf numFmtId="43" fontId="3" fillId="0" borderId="27" pivotButton="0" quotePrefix="0" xfId="1"/>
    <xf numFmtId="43" fontId="2" fillId="0" borderId="0" pivotButton="0" quotePrefix="0" xfId="1"/>
    <xf numFmtId="43" fontId="5" fillId="0" borderId="0" pivotButton="0" quotePrefix="0" xfId="1"/>
    <xf numFmtId="0" fontId="2" fillId="0" borderId="28" pivotButton="0" quotePrefix="0" xfId="0"/>
    <xf numFmtId="43" fontId="3" fillId="0" borderId="16" pivotButton="0" quotePrefix="0" xfId="1"/>
    <xf numFmtId="0" fontId="2" fillId="0" borderId="17" applyAlignment="1" pivotButton="0" quotePrefix="0" xfId="0">
      <alignment horizontal="center" wrapText="1"/>
    </xf>
    <xf numFmtId="0" fontId="2" fillId="0" borderId="29" applyAlignment="1" pivotButton="0" quotePrefix="0" xfId="0">
      <alignment horizontal="center"/>
    </xf>
    <xf numFmtId="43" fontId="2" fillId="0" borderId="18" applyAlignment="1" pivotButton="0" quotePrefix="0" xfId="1">
      <alignment horizontal="center"/>
    </xf>
    <xf numFmtId="0" fontId="2" fillId="0" borderId="19" pivotButton="0" quotePrefix="0" xfId="0"/>
    <xf numFmtId="0" fontId="2" fillId="0" borderId="30" pivotButton="0" quotePrefix="0" xfId="0"/>
    <xf numFmtId="0" fontId="2" fillId="0" borderId="20" applyAlignment="1" pivotButton="0" quotePrefix="0" xfId="0">
      <alignment horizontal="center"/>
    </xf>
    <xf numFmtId="9" fontId="3" fillId="0" borderId="21" applyAlignment="1" pivotButton="0" quotePrefix="0" xfId="1">
      <alignment horizontal="center"/>
    </xf>
    <xf numFmtId="0" fontId="2" fillId="0" borderId="31" applyAlignment="1" pivotButton="0" quotePrefix="0" xfId="0">
      <alignment horizontal="left" wrapText="1"/>
    </xf>
    <xf numFmtId="0" fontId="2" fillId="0" borderId="15" applyAlignment="1" pivotButton="0" quotePrefix="0" xfId="0">
      <alignment horizontal="left"/>
    </xf>
    <xf numFmtId="0" fontId="2" fillId="0" borderId="25" applyAlignment="1" pivotButton="0" quotePrefix="0" xfId="0">
      <alignment horizontal="right"/>
    </xf>
    <xf numFmtId="0" fontId="2" fillId="0" borderId="32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43" fontId="2" fillId="0" borderId="33" applyAlignment="1" pivotButton="0" quotePrefix="0" xfId="1">
      <alignment horizontal="right"/>
    </xf>
    <xf numFmtId="0" fontId="9" fillId="0" borderId="34" applyAlignment="1" pivotButton="0" quotePrefix="0" xfId="0">
      <alignment horizontal="left" wrapText="1"/>
    </xf>
    <xf numFmtId="0" fontId="9" fillId="0" borderId="35" applyAlignment="1" pivotButton="0" quotePrefix="0" xfId="0">
      <alignment horizontal="left"/>
    </xf>
    <xf numFmtId="0" fontId="9" fillId="0" borderId="35" applyAlignment="1" pivotButton="0" quotePrefix="0" xfId="0">
      <alignment horizontal="right"/>
    </xf>
    <xf numFmtId="43" fontId="9" fillId="0" borderId="36" applyAlignment="1" pivotButton="0" quotePrefix="0" xfId="1">
      <alignment horizontal="right"/>
    </xf>
    <xf numFmtId="43" fontId="9" fillId="0" borderId="37" applyAlignment="1" pivotButton="0" quotePrefix="0" xfId="1">
      <alignment horizontal="right"/>
    </xf>
    <xf numFmtId="0" fontId="10" fillId="0" borderId="0" pivotButton="0" quotePrefix="0" xfId="0"/>
    <xf numFmtId="0" fontId="5" fillId="0" borderId="17" pivotButton="0" quotePrefix="0" xfId="0"/>
    <xf numFmtId="43" fontId="5" fillId="0" borderId="18" pivotButton="0" quotePrefix="0" xfId="1"/>
    <xf numFmtId="0" fontId="2" fillId="0" borderId="20" pivotButton="0" quotePrefix="0" xfId="0"/>
    <xf numFmtId="0" fontId="3" fillId="0" borderId="3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5" applyAlignment="1" pivotButton="0" quotePrefix="0" xfId="0">
      <alignment horizontal="right"/>
    </xf>
    <xf numFmtId="43" fontId="3" fillId="0" borderId="38" applyAlignment="1" pivotButton="0" quotePrefix="0" xfId="1">
      <alignment horizontal="right"/>
    </xf>
    <xf numFmtId="43" fontId="3" fillId="0" borderId="7" applyAlignment="1" pivotButton="0" quotePrefix="0" xfId="0">
      <alignment horizontal="right"/>
    </xf>
    <xf numFmtId="43" fontId="3" fillId="0" borderId="39" applyAlignment="1" pivotButton="0" quotePrefix="0" xfId="1">
      <alignment horizontal="right"/>
    </xf>
    <xf numFmtId="0" fontId="9" fillId="0" borderId="36" pivotButton="0" quotePrefix="0" xfId="0"/>
    <xf numFmtId="0" fontId="9" fillId="0" borderId="40" pivotButton="0" quotePrefix="0" xfId="0"/>
    <xf numFmtId="43" fontId="9" fillId="0" borderId="36" pivotButton="0" quotePrefix="0" xfId="1"/>
    <xf numFmtId="43" fontId="9" fillId="0" borderId="41" pivotButton="0" quotePrefix="0" xfId="1"/>
    <xf numFmtId="0" fontId="9" fillId="0" borderId="0" pivotButton="0" quotePrefix="0" xfId="0"/>
    <xf numFmtId="0" fontId="9" fillId="0" borderId="19" pivotButton="0" quotePrefix="0" xfId="0"/>
    <xf numFmtId="0" fontId="9" fillId="0" borderId="20" pivotButton="0" quotePrefix="0" xfId="0"/>
    <xf numFmtId="43" fontId="9" fillId="0" borderId="30" pivotButton="0" quotePrefix="0" xfId="1"/>
    <xf numFmtId="0" fontId="4" fillId="0" borderId="28" pivotButton="0" quotePrefix="0" xfId="0"/>
    <xf numFmtId="0" fontId="4" fillId="0" borderId="16" pivotButton="0" quotePrefix="0" xfId="0"/>
    <xf numFmtId="0" fontId="4" fillId="0" borderId="29" pivotButton="0" quotePrefix="0" xfId="0"/>
    <xf numFmtId="0" fontId="4" fillId="0" borderId="18" pivotButton="0" quotePrefix="0" xfId="0"/>
    <xf numFmtId="0" fontId="4" fillId="0" borderId="1" pivotButton="0" quotePrefix="0" xfId="0"/>
    <xf numFmtId="43" fontId="4" fillId="0" borderId="16" pivotButton="0" quotePrefix="0" xfId="1"/>
    <xf numFmtId="0" fontId="4" fillId="0" borderId="17" pivotButton="0" quotePrefix="0" xfId="0"/>
    <xf numFmtId="43" fontId="4" fillId="0" borderId="18" pivotButton="0" quotePrefix="0" xfId="1"/>
    <xf numFmtId="0" fontId="4" fillId="0" borderId="30" pivotButton="0" quotePrefix="0" xfId="0"/>
    <xf numFmtId="0" fontId="4" fillId="0" borderId="21" pivotButton="0" quotePrefix="0" xfId="0"/>
    <xf numFmtId="43" fontId="2" fillId="0" borderId="21" pivotButton="0" quotePrefix="0" xfId="1"/>
    <xf numFmtId="0" fontId="11" fillId="0" borderId="0" pivotButton="0" quotePrefix="0" xfId="0"/>
    <xf numFmtId="43" fontId="11" fillId="0" borderId="0" pivotButton="0" quotePrefix="0" xfId="1"/>
    <xf numFmtId="0" fontId="12" fillId="0" borderId="0" pivotButton="0" quotePrefix="0" xfId="0"/>
    <xf numFmtId="43" fontId="13" fillId="0" borderId="0" pivotButton="0" quotePrefix="0" xfId="1"/>
    <xf numFmtId="0" fontId="14" fillId="0" borderId="0" pivotButton="0" quotePrefix="0" xfId="0"/>
    <xf numFmtId="43" fontId="12" fillId="0" borderId="0" pivotButton="0" quotePrefix="0" xfId="1"/>
    <xf numFmtId="0" fontId="15" fillId="0" borderId="0" pivotButton="0" quotePrefix="0" xfId="0"/>
    <xf numFmtId="43" fontId="4" fillId="0" borderId="0" pivotButton="0" quotePrefix="0" xfId="1"/>
  </cellXfs>
  <cellStyles count="3">
    <cellStyle name="Normal" xfId="0" builtinId="0"/>
    <cellStyle name="Comma" xfId="1" builtinId="3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tabSelected="1" workbookViewId="0">
      <selection activeCell="B8" sqref="B8"/>
    </sheetView>
  </sheetViews>
  <sheetFormatPr baseColWidth="8" defaultColWidth="8.85546875" defaultRowHeight="15"/>
  <cols>
    <col width="10.7109375" customWidth="1" style="3" min="1" max="1"/>
    <col width="61.42578125" customWidth="1" style="3" min="2" max="2"/>
    <col width="10.42578125" customWidth="1" style="3" min="3" max="3"/>
    <col width="12.42578125" customWidth="1" style="3" min="4" max="4"/>
    <col width="12.7109375" customWidth="1" style="3" min="5" max="5"/>
    <col width="14.28515625" customWidth="1" style="108" min="6" max="6"/>
    <col width="8.85546875" customWidth="1" style="3" min="7" max="16384"/>
  </cols>
  <sheetData>
    <row r="1" ht="13.9" customHeight="1">
      <c r="A1" s="1" t="n"/>
      <c r="B1" s="1" t="n"/>
      <c r="C1" s="1" t="n"/>
      <c r="D1" s="1" t="n"/>
      <c r="E1" s="1" t="n"/>
      <c r="F1" s="10" t="n"/>
    </row>
    <row r="2" hidden="1" ht="13.9" customHeight="1">
      <c r="F2" s="108" t="n"/>
    </row>
    <row r="3" hidden="1" ht="13.9" customHeight="1">
      <c r="A3" s="1" t="n"/>
      <c r="B3" s="1" t="n"/>
      <c r="C3" s="1" t="n"/>
      <c r="D3" s="5" t="n"/>
      <c r="E3" s="1" t="n"/>
      <c r="F3" s="50" t="n"/>
    </row>
    <row r="4" hidden="1" ht="13.9" customHeight="1">
      <c r="A4" s="1" t="n"/>
      <c r="B4" s="1" t="n"/>
      <c r="C4" s="1" t="n"/>
      <c r="D4" s="1" t="n"/>
      <c r="E4" s="1" t="n"/>
      <c r="F4" s="50" t="n"/>
    </row>
    <row r="5" ht="13.9" customHeight="1">
      <c r="A5" s="1" t="n"/>
      <c r="B5" s="1" t="n"/>
      <c r="C5" s="1" t="n"/>
      <c r="D5" s="1" t="n"/>
      <c r="E5" s="1" t="n"/>
      <c r="F5" s="50" t="n"/>
    </row>
    <row r="6" ht="13.9" customHeight="1">
      <c r="A6" s="1" t="n"/>
      <c r="B6" s="1" t="n"/>
      <c r="C6" s="1" t="n"/>
      <c r="D6" s="1" t="n"/>
      <c r="E6" s="1" t="n"/>
      <c r="F6" s="50" t="n"/>
    </row>
    <row r="7" ht="21" customFormat="1" customHeight="1" s="9">
      <c r="A7" s="7" t="inlineStr">
        <is>
          <t xml:space="preserve">S.C. NELOAICA S.R.L.           DEVIZ DE REPARATIE </t>
        </is>
      </c>
      <c r="B7" s="7" t="n"/>
      <c r="C7" s="7" t="n"/>
      <c r="D7" s="7" t="n"/>
      <c r="E7" s="7" t="n"/>
      <c r="F7" s="8" t="n"/>
    </row>
    <row r="8" ht="21" customFormat="1" customHeight="1" s="9">
      <c r="A8" s="7" t="n"/>
      <c r="B8" s="7" t="inlineStr">
        <is>
          <t xml:space="preserve">                                     Nr.    Din data </t>
        </is>
      </c>
      <c r="C8" s="7" t="n"/>
      <c r="D8" s="7" t="n"/>
      <c r="E8" s="7" t="n"/>
      <c r="F8" s="8" t="n"/>
    </row>
    <row r="9" ht="14.45" customHeight="1" thickBot="1">
      <c r="A9" s="1" t="inlineStr">
        <is>
          <t>CUI: RO36496011</t>
        </is>
      </c>
      <c r="B9" s="1" t="n"/>
      <c r="C9" s="1" t="n"/>
      <c r="D9" s="1" t="n"/>
      <c r="E9" s="1" t="n"/>
      <c r="F9" s="10" t="n"/>
    </row>
    <row r="10" ht="13.9" customHeight="1">
      <c r="A10" s="11" t="inlineStr">
        <is>
          <t>Client:</t>
        </is>
      </c>
      <c r="B10" s="12" t="inlineStr">
        <is>
          <t>Coras Eduard</t>
        </is>
      </c>
      <c r="C10" s="13" t="inlineStr">
        <is>
          <t>Tip auto:</t>
        </is>
      </c>
      <c r="D10" s="14" t="inlineStr">
        <is>
          <t>Audi A6</t>
        </is>
      </c>
      <c r="E10" s="15" t="inlineStr">
        <is>
          <t>Km:</t>
        </is>
      </c>
      <c r="F10" s="16" t="n">
        <v>250000</v>
      </c>
    </row>
    <row r="11" ht="13.9" customHeight="1">
      <c r="A11" s="17" t="n"/>
      <c r="B11" s="18" t="n"/>
      <c r="C11" s="19" t="inlineStr">
        <is>
          <t xml:space="preserve">Nr. Inmatriculare: </t>
        </is>
      </c>
      <c r="D11" s="20" t="n"/>
      <c r="E11" s="20" t="inlineStr">
        <is>
          <t>BH-27-KLF</t>
        </is>
      </c>
      <c r="F11" s="21" t="n"/>
    </row>
    <row r="12" ht="14.45" customHeight="1" thickBot="1">
      <c r="A12" s="22" t="inlineStr">
        <is>
          <t xml:space="preserve">Adresa: </t>
        </is>
      </c>
      <c r="B12" s="23" t="inlineStr">
        <is>
          <t>Bradet nr 13A</t>
        </is>
      </c>
      <c r="C12" s="24" t="inlineStr">
        <is>
          <t xml:space="preserve">Serie caroserie: </t>
        </is>
      </c>
      <c r="D12" s="23" t="n"/>
      <c r="E12" s="23" t="inlineStr">
        <is>
          <t>12341241243243242</t>
        </is>
      </c>
      <c r="F12" s="25" t="n"/>
    </row>
    <row r="13" ht="13.9" customHeight="1">
      <c r="A13" s="26" t="inlineStr">
        <is>
          <t>Defecte reclamate de client:</t>
        </is>
      </c>
      <c r="B13" s="18" t="n"/>
      <c r="C13" s="11" t="inlineStr">
        <is>
          <t>Urmatoarele piese sunt furnizate de client.</t>
        </is>
      </c>
      <c r="D13" s="12" t="n"/>
      <c r="E13" s="12" t="n"/>
      <c r="F13" s="27" t="n"/>
      <c r="J13" s="3" t="inlineStr">
        <is>
          <t>   </t>
        </is>
      </c>
    </row>
    <row r="14" ht="13.9" customHeight="1">
      <c r="A14" s="28" t="n"/>
      <c r="B14" s="29" t="n"/>
      <c r="C14" s="30" t="n"/>
      <c r="D14" s="31" t="n"/>
      <c r="E14" s="31" t="n"/>
      <c r="F14" s="32" t="n"/>
    </row>
    <row r="15" ht="13.9" customHeight="1">
      <c r="A15" s="28" t="n"/>
      <c r="B15" s="29" t="n"/>
      <c r="C15" s="30" t="n"/>
      <c r="D15" s="31" t="n"/>
      <c r="E15" s="31" t="n"/>
      <c r="F15" s="32" t="n"/>
    </row>
    <row r="16" ht="14.45" customHeight="1" thickBot="1">
      <c r="A16" s="28" t="n"/>
      <c r="B16" s="29" t="n"/>
      <c r="C16" s="33" t="n"/>
      <c r="D16" s="34" t="n"/>
      <c r="E16" s="34" t="n"/>
      <c r="F16" s="35" t="n"/>
    </row>
    <row r="17" ht="13.9" customHeight="1">
      <c r="A17" s="28" t="n"/>
      <c r="B17" s="29" t="n"/>
      <c r="C17" s="36" t="inlineStr">
        <is>
          <t>Renunt la garantia acestor piese.</t>
        </is>
      </c>
      <c r="D17" s="31" t="n"/>
      <c r="E17" s="31" t="n"/>
      <c r="F17" s="32" t="n"/>
    </row>
    <row r="18" ht="14.45" customHeight="1" thickBot="1">
      <c r="A18" s="37" t="n"/>
      <c r="B18" s="38" t="n"/>
      <c r="C18" s="33" t="inlineStr">
        <is>
          <t>Semnatura client:</t>
        </is>
      </c>
      <c r="D18" s="34" t="n"/>
      <c r="E18" s="34" t="n"/>
      <c r="F18" s="35" t="n"/>
    </row>
    <row r="19" ht="13.9" customHeight="1">
      <c r="A19" s="11" t="inlineStr">
        <is>
          <t>Defecte constatate in timpul reparatiei</t>
        </is>
      </c>
      <c r="B19" s="12" t="n"/>
      <c r="C19" s="11" t="n"/>
      <c r="D19" s="12" t="n"/>
      <c r="E19" s="12" t="n"/>
      <c r="F19" s="27" t="n"/>
    </row>
    <row r="20" ht="13.9" customHeight="1">
      <c r="A20" s="39" t="n"/>
      <c r="B20" s="29" t="n"/>
      <c r="C20" s="40" t="inlineStr">
        <is>
          <t>Accept lucrarile suplimentar constatate.</t>
        </is>
      </c>
      <c r="D20" s="31" t="n"/>
      <c r="E20" s="31" t="n"/>
      <c r="F20" s="32" t="n"/>
    </row>
    <row r="21" ht="13.9" customHeight="1">
      <c r="A21" s="39" t="n"/>
      <c r="B21" s="29" t="n"/>
      <c r="C21" s="30" t="inlineStr">
        <is>
          <t>Semnatura client:</t>
        </is>
      </c>
      <c r="D21" s="31" t="n"/>
      <c r="E21" s="31" t="n"/>
      <c r="F21" s="32" t="n"/>
    </row>
    <row r="22" ht="13.9" customHeight="1">
      <c r="A22" s="39" t="n"/>
      <c r="B22" s="29" t="n"/>
      <c r="C22" s="30" t="n"/>
      <c r="D22" s="31" t="n"/>
      <c r="E22" s="31" t="n"/>
      <c r="F22" s="32" t="n"/>
    </row>
    <row r="23" ht="13.9" customHeight="1">
      <c r="A23" s="39" t="n"/>
      <c r="B23" s="29" t="n"/>
      <c r="C23" s="30" t="n"/>
      <c r="D23" s="31" t="n"/>
      <c r="E23" s="31" t="n"/>
      <c r="F23" s="32" t="n"/>
    </row>
    <row r="24" ht="14.45" customHeight="1" thickBot="1">
      <c r="A24" s="41" t="n"/>
      <c r="B24" s="42" t="n"/>
      <c r="C24" s="33" t="n"/>
      <c r="D24" s="34" t="n"/>
      <c r="E24" s="34" t="n"/>
      <c r="F24" s="35" t="n"/>
    </row>
    <row r="25" ht="13.9" customHeight="1">
      <c r="A25" s="43" t="inlineStr">
        <is>
          <t>Masina mai prezinta urmatoarele deficiente:</t>
        </is>
      </c>
      <c r="B25" s="1" t="n"/>
      <c r="C25" s="43" t="inlineStr">
        <is>
          <t>Nu accept sa remediez lucrarile constatate.</t>
        </is>
      </c>
      <c r="D25" s="1" t="n"/>
      <c r="E25" s="1" t="n"/>
      <c r="F25" s="44" t="n"/>
    </row>
    <row r="26" ht="13.9" customHeight="1">
      <c r="A26" s="26" t="inlineStr">
        <is>
          <t>(elemente de securitate)</t>
        </is>
      </c>
      <c r="B26" s="18" t="n"/>
      <c r="C26" s="43" t="inlineStr">
        <is>
          <t>Circul cu autovehiculul pe propia raspundere.</t>
        </is>
      </c>
      <c r="D26" s="1" t="n"/>
      <c r="E26" s="1" t="n"/>
      <c r="F26" s="44" t="n"/>
    </row>
    <row r="27" ht="13.9" customHeight="1">
      <c r="A27" s="28" t="n"/>
      <c r="B27" s="29" t="n"/>
      <c r="C27" s="45" t="inlineStr">
        <is>
          <t>Semnatura client:</t>
        </is>
      </c>
      <c r="D27" s="31" t="n"/>
      <c r="E27" s="31" t="n"/>
      <c r="F27" s="46" t="n"/>
    </row>
    <row r="28" ht="13.9" customHeight="1">
      <c r="A28" s="28" t="n"/>
      <c r="B28" s="29" t="n"/>
      <c r="C28" s="47" t="n"/>
      <c r="D28" s="48" t="n"/>
      <c r="E28" s="48" t="n"/>
      <c r="F28" s="49" t="n"/>
    </row>
    <row r="29" ht="13.9" customHeight="1">
      <c r="A29" s="1" t="inlineStr">
        <is>
          <t>Valoarea estimativa reparatie:     LEI                 Intocmit:  CORAS DIANA                        Accept client:</t>
        </is>
      </c>
      <c r="B29" s="1" t="n"/>
      <c r="C29" s="1" t="n"/>
      <c r="D29" s="1" t="n"/>
      <c r="E29" s="1" t="n"/>
      <c r="F29" s="50" t="n"/>
    </row>
    <row r="30" ht="13.9" customHeight="1">
      <c r="A30" s="1" t="n"/>
      <c r="B30" s="1" t="n"/>
      <c r="C30" s="1" t="n"/>
      <c r="D30" s="1" t="n"/>
      <c r="E30" s="1" t="n"/>
      <c r="F30" s="50" t="n"/>
    </row>
    <row r="31" ht="13.9" customHeight="1">
      <c r="A31" s="1" t="inlineStr">
        <is>
          <t>Timp estimativ reparatie:                                      Semnatura:                              Semnatura:</t>
        </is>
      </c>
      <c r="B31" s="1" t="n"/>
      <c r="C31" s="1" t="n"/>
      <c r="D31" s="1" t="n"/>
      <c r="E31" s="1" t="n"/>
      <c r="F31" s="50" t="n"/>
    </row>
    <row r="32" ht="21.6" customFormat="1" customHeight="1" s="9" thickBot="1">
      <c r="A32" s="7" t="inlineStr">
        <is>
          <t>MANOPERA</t>
        </is>
      </c>
      <c r="B32" s="7" t="n"/>
      <c r="C32" s="7" t="n"/>
      <c r="D32" s="7" t="n"/>
      <c r="E32" s="7" t="n"/>
      <c r="F32" s="51" t="n"/>
    </row>
    <row r="33" ht="13.9" customHeight="1">
      <c r="A33" s="11" t="n"/>
      <c r="B33" s="52" t="n"/>
      <c r="C33" s="12" t="n"/>
      <c r="D33" s="52" t="n"/>
      <c r="E33" s="52" t="n"/>
      <c r="F33" s="53" t="n"/>
    </row>
    <row r="34" ht="13.9" customHeight="1">
      <c r="A34" s="54" t="inlineStr">
        <is>
          <t>Nr.</t>
        </is>
      </c>
      <c r="B34" s="55" t="inlineStr">
        <is>
          <t>Operatie</t>
        </is>
      </c>
      <c r="C34" s="5" t="inlineStr">
        <is>
          <t>Timp</t>
        </is>
      </c>
      <c r="D34" s="55" t="inlineStr">
        <is>
          <t>Pret unitar</t>
        </is>
      </c>
      <c r="E34" s="55" t="inlineStr">
        <is>
          <t>Valoare</t>
        </is>
      </c>
      <c r="F34" s="56" t="inlineStr">
        <is>
          <t>TVA</t>
        </is>
      </c>
    </row>
    <row r="35" ht="14.45" customHeight="1" thickBot="1">
      <c r="A35" s="57" t="n"/>
      <c r="B35" s="58" t="n"/>
      <c r="C35" s="59" t="inlineStr">
        <is>
          <t>H</t>
        </is>
      </c>
      <c r="D35" s="58" t="n"/>
      <c r="E35" s="58" t="n"/>
      <c r="F35" s="60" t="n">
        <v>0.21</v>
      </c>
    </row>
    <row r="36" ht="15.75" customHeight="1" thickBot="1">
      <c r="A36" s="61" t="n"/>
      <c r="B36" s="62" t="inlineStr">
        <is>
          <t>CONSTATARE-DIAGNOZA</t>
        </is>
      </c>
      <c r="C36" s="63" t="n"/>
      <c r="D36" s="64" t="n"/>
      <c r="E36" s="65" t="n"/>
      <c r="F36" s="66">
        <f>E36*19/119</f>
        <v/>
      </c>
    </row>
    <row r="37" ht="16.5" customHeight="1" thickBot="1">
      <c r="A37" s="67" t="n"/>
      <c r="B37" s="68" t="inlineStr">
        <is>
          <t>Total manopera</t>
        </is>
      </c>
      <c r="C37" s="69" t="n"/>
      <c r="D37" s="69" t="n"/>
      <c r="E37" s="70" t="n"/>
      <c r="F37" s="71">
        <f> E37*21/121</f>
        <v/>
      </c>
    </row>
    <row r="38" ht="21" customHeight="1" thickBot="1">
      <c r="A38" s="73" t="inlineStr">
        <is>
          <t>PIESE</t>
        </is>
      </c>
      <c r="B38" s="7" t="n"/>
      <c r="C38" s="7" t="n"/>
      <c r="D38" s="7" t="n"/>
      <c r="E38" s="7" t="n"/>
      <c r="F38" s="74" t="n"/>
    </row>
    <row r="39">
      <c r="A39" s="52" t="n"/>
      <c r="B39" s="12" t="n"/>
      <c r="C39" s="52" t="n"/>
      <c r="D39" s="12" t="n"/>
      <c r="E39" s="52" t="n"/>
      <c r="F39" s="53" t="n"/>
    </row>
    <row r="40">
      <c r="A40" s="55" t="inlineStr">
        <is>
          <t>Nr.</t>
        </is>
      </c>
      <c r="B40" s="5" t="inlineStr">
        <is>
          <t>Piese auto-materiale</t>
        </is>
      </c>
      <c r="C40" s="55" t="inlineStr">
        <is>
          <t>Buc.</t>
        </is>
      </c>
      <c r="D40" s="5" t="inlineStr">
        <is>
          <t>Pret unitar</t>
        </is>
      </c>
      <c r="E40" s="55" t="inlineStr">
        <is>
          <t xml:space="preserve">Valoare </t>
        </is>
      </c>
      <c r="F40" s="56" t="inlineStr">
        <is>
          <t>TVA</t>
        </is>
      </c>
    </row>
    <row r="41" ht="15.75" customHeight="1" thickBot="1">
      <c r="A41" s="58" t="n"/>
      <c r="B41" s="75" t="n"/>
      <c r="C41" s="58" t="n"/>
      <c r="D41" s="75" t="n"/>
      <c r="E41" s="58" t="n"/>
      <c r="F41" s="60" t="n">
        <v>0.21</v>
      </c>
    </row>
    <row r="42" ht="15.75" customHeight="1" thickBot="1">
      <c r="A42" s="76" t="n"/>
      <c r="B42" s="77" t="n"/>
      <c r="C42" s="78" t="n"/>
      <c r="D42" s="79" t="n">
        <v>0</v>
      </c>
      <c r="E42" s="80">
        <f> C42*D42</f>
        <v/>
      </c>
      <c r="F42" s="81">
        <f>E42*21/121</f>
        <v/>
      </c>
    </row>
    <row r="43" ht="16.5" customHeight="1" thickBot="1">
      <c r="A43" s="82" t="n"/>
      <c r="B43" s="83" t="inlineStr">
        <is>
          <t>Total piese</t>
        </is>
      </c>
      <c r="C43" s="83" t="n"/>
      <c r="D43" s="83" t="n"/>
      <c r="E43" s="84">
        <f>SUM(E42:E42)</f>
        <v/>
      </c>
      <c r="F43" s="85">
        <f>SUM(F42:F42)</f>
        <v/>
      </c>
    </row>
    <row r="44" ht="16.5" customHeight="1" thickBot="1">
      <c r="A44" s="86" t="n"/>
      <c r="B44" s="86" t="n"/>
      <c r="C44" s="86" t="n"/>
      <c r="D44" s="87" t="inlineStr">
        <is>
          <t xml:space="preserve">Total general de plata </t>
        </is>
      </c>
      <c r="E44" s="88" t="n"/>
      <c r="F44" s="89">
        <f> E37+E43</f>
        <v/>
      </c>
    </row>
    <row r="45" ht="15.75" customHeight="1" thickBot="1">
      <c r="A45" s="90" t="n"/>
      <c r="B45" s="91" t="n"/>
      <c r="F45" s="108" t="n"/>
    </row>
    <row r="46">
      <c r="A46" s="92" t="inlineStr">
        <is>
          <t>Semnatura si</t>
        </is>
      </c>
      <c r="B46" s="93" t="n"/>
      <c r="E46" s="94" t="inlineStr">
        <is>
          <t>Semnatura de</t>
        </is>
      </c>
      <c r="F46" s="95" t="n"/>
    </row>
    <row r="47" ht="15.75" customFormat="1" customHeight="1" s="72">
      <c r="A47" s="92" t="inlineStr">
        <is>
          <t>stampila</t>
        </is>
      </c>
      <c r="B47" s="93" t="n"/>
      <c r="C47" s="3" t="n"/>
      <c r="D47" s="3" t="n"/>
      <c r="E47" s="96" t="inlineStr">
        <is>
          <t>primire</t>
        </is>
      </c>
      <c r="F47" s="97" t="n"/>
    </row>
    <row r="48" ht="20.25" customFormat="1" customHeight="1" s="9">
      <c r="A48" s="92" t="inlineStr">
        <is>
          <t>furnizorului</t>
        </is>
      </c>
      <c r="B48" s="93" t="n"/>
      <c r="C48" s="3" t="n"/>
      <c r="D48" s="3" t="n"/>
      <c r="E48" s="96" t="n"/>
      <c r="F48" s="97" t="n"/>
    </row>
    <row r="49" ht="15.75" customHeight="1" thickBot="1">
      <c r="A49" s="98" t="n"/>
      <c r="B49" s="99" t="n"/>
      <c r="E49" s="96" t="inlineStr">
        <is>
          <t>Am preluat vehiculul cu lucrarile</t>
        </is>
      </c>
      <c r="F49" s="97" t="n"/>
    </row>
    <row r="50" ht="15.75" customHeight="1" thickBot="1">
      <c r="A50" s="1" t="inlineStr">
        <is>
          <t xml:space="preserve">Executant: </t>
        </is>
      </c>
      <c r="B50" s="1" t="n"/>
      <c r="C50" s="1" t="n"/>
      <c r="D50" s="1" t="n"/>
      <c r="E50" s="33" t="inlineStr">
        <is>
          <t>executate si cu inventarul complet</t>
        </is>
      </c>
      <c r="F50" s="100" t="n"/>
    </row>
    <row r="51">
      <c r="A51" s="101" t="n"/>
      <c r="B51" s="101" t="n"/>
      <c r="C51" s="101" t="n"/>
      <c r="D51" s="101" t="n"/>
      <c r="E51" s="101" t="n"/>
      <c r="F51" s="102" t="n"/>
    </row>
    <row r="52">
      <c r="A52" s="1" t="inlineStr">
        <is>
          <t>Responsabil insp. Finala: CORAS VASILE</t>
        </is>
      </c>
      <c r="B52" s="1" t="n"/>
      <c r="C52" s="1" t="n"/>
      <c r="D52" s="1" t="n"/>
      <c r="E52" s="1" t="n"/>
      <c r="F52" s="10" t="n"/>
    </row>
    <row r="53">
      <c r="A53" s="1" t="n"/>
      <c r="B53" s="1" t="n"/>
      <c r="C53" s="1" t="n"/>
      <c r="D53" s="1" t="n"/>
      <c r="E53" s="1" t="n"/>
      <c r="F53" s="10" t="n"/>
    </row>
    <row r="54">
      <c r="A54" s="103" t="inlineStr">
        <is>
          <t>Pe parcursul reparatiei pot fi identificate si alte piese defecte fata de cele mentionate la efectuarea constatarii!</t>
        </is>
      </c>
      <c r="B54" s="103" t="n"/>
      <c r="C54" s="103" t="n"/>
      <c r="D54" s="103" t="n"/>
      <c r="E54" s="103" t="n"/>
      <c r="F54" s="104" t="n"/>
    </row>
    <row r="55">
      <c r="A55" s="1" t="n"/>
      <c r="B55" s="1" t="n"/>
      <c r="C55" s="1" t="n"/>
      <c r="D55" s="1" t="n"/>
      <c r="E55" s="1" t="n"/>
      <c r="F55" s="10" t="n"/>
    </row>
    <row r="56">
      <c r="A56" s="1" t="inlineStr">
        <is>
          <t>CERTIFICAT DE GARANTIE</t>
        </is>
      </c>
      <c r="B56" s="1" t="n"/>
      <c r="C56" s="1" t="n"/>
      <c r="D56" s="1" t="n"/>
      <c r="E56" s="1" t="n"/>
      <c r="F56" s="50" t="n"/>
    </row>
    <row r="57">
      <c r="A57" s="103" t="inlineStr">
        <is>
          <t>Garantia reparatiilor efectuate in service -ul nostru se aplica in baza OUG 140/2021, astfel se acorda 90 de zile pentru lucrari executate.</t>
        </is>
      </c>
      <c r="B57" s="103" t="n"/>
      <c r="C57" s="103" t="n"/>
      <c r="D57" s="103" t="n"/>
      <c r="E57" s="103" t="n"/>
      <c r="F57" s="106" t="n"/>
    </row>
    <row r="58">
      <c r="A58" s="103" t="inlineStr">
        <is>
          <t>Garantia pieselor se aplica conform prescriptiei producatorului si se acorda doar pentru cele achizitionate din magazinul nostru.</t>
        </is>
      </c>
      <c r="B58" s="103" t="n"/>
      <c r="C58" s="103" t="n"/>
      <c r="D58" s="103" t="n"/>
      <c r="E58" s="103" t="n"/>
      <c r="F58" s="106" t="n"/>
    </row>
    <row r="59">
      <c r="A59" s="103" t="inlineStr">
        <is>
          <t xml:space="preserve">Garantia este conditionata de exploatarea auto, conform prescriptiilor constructorului. </t>
        </is>
      </c>
      <c r="B59" s="103" t="n"/>
      <c r="C59" s="103" t="n"/>
      <c r="D59" s="103" t="n"/>
      <c r="E59" s="103" t="n"/>
      <c r="F59" s="106" t="n"/>
    </row>
    <row r="60">
      <c r="A60" s="103" t="inlineStr">
        <is>
          <t>Conform cu GPDR2016/679/UE - Sunt de acord cu prelucrarea datelor cu caracter personal.</t>
        </is>
      </c>
      <c r="B60" s="103" t="n"/>
      <c r="C60" s="103" t="n"/>
      <c r="D60" s="103" t="n"/>
      <c r="E60" s="103" t="n"/>
      <c r="F60" s="106" t="n"/>
    </row>
    <row r="61">
      <c r="A61" s="103" t="inlineStr">
        <is>
          <t>Nota: Unitatea noastra nu este raspunzatoare pentru obiectele personale lasate in autovehicul.</t>
        </is>
      </c>
      <c r="B61" s="103" t="n"/>
      <c r="C61" s="103" t="n"/>
      <c r="D61" s="103" t="n"/>
      <c r="E61" s="103" t="n"/>
      <c r="F61" s="106" t="n"/>
    </row>
    <row r="62">
      <c r="A62" s="31" t="n"/>
      <c r="B62" s="31" t="n"/>
      <c r="C62" s="31" t="n"/>
      <c r="D62" s="31" t="n"/>
      <c r="E62" s="31" t="n"/>
      <c r="F62" s="10" t="n"/>
    </row>
    <row r="63">
      <c r="A63" s="31" t="n"/>
    </row>
    <row r="64">
      <c r="A64" s="1" t="n"/>
      <c r="B64" s="1" t="n"/>
      <c r="C64" s="1" t="n"/>
      <c r="D64" s="1" t="n"/>
      <c r="E64" s="1" t="n"/>
      <c r="F64" s="10" t="n"/>
    </row>
    <row r="65">
      <c r="A65" s="31" t="inlineStr">
        <is>
          <t>D/R = DEMONTAT/REMONTAT    I = INLOCUIT    R = REPARAT</t>
        </is>
      </c>
      <c r="B65" s="31" t="n"/>
      <c r="C65" s="31" t="n"/>
      <c r="D65" s="31" t="n"/>
      <c r="E65" s="31" t="n"/>
      <c r="F65" s="10" t="n"/>
    </row>
    <row r="66" ht="15.75" customFormat="1" customHeight="1" s="72">
      <c r="A66" s="31" t="n"/>
      <c r="B66" s="31" t="n"/>
      <c r="C66" s="31" t="n"/>
      <c r="D66" s="31" t="n"/>
      <c r="E66" s="31" t="n"/>
      <c r="F66" s="10" t="n"/>
    </row>
    <row r="67" ht="15.75" customFormat="1" customHeight="1" s="72">
      <c r="A67" s="1" t="n"/>
      <c r="B67" s="1" t="n"/>
      <c r="C67" s="1" t="n"/>
      <c r="D67" s="1" t="n"/>
      <c r="E67" s="1" t="n"/>
      <c r="F67" s="10" t="n"/>
    </row>
    <row r="68">
      <c r="F68" s="108" t="n"/>
    </row>
    <row r="69">
      <c r="A69" s="1" t="n"/>
      <c r="B69" s="1" t="n"/>
      <c r="C69" s="1" t="n"/>
      <c r="D69" s="5" t="n"/>
      <c r="E69" s="1" t="n"/>
      <c r="F69" s="50" t="n"/>
    </row>
    <row r="70">
      <c r="A70" s="1" t="n"/>
      <c r="B70" s="1" t="n"/>
      <c r="C70" s="1" t="n"/>
      <c r="D70" s="1" t="n"/>
      <c r="E70" s="1" t="n"/>
      <c r="F70" s="50" t="n"/>
    </row>
    <row r="71">
      <c r="A71" s="1" t="n"/>
      <c r="B71" s="1" t="n"/>
      <c r="C71" s="1" t="n"/>
      <c r="D71" s="1" t="n"/>
      <c r="E71" s="1" t="n"/>
      <c r="F71" s="50" t="n"/>
    </row>
    <row r="72">
      <c r="A72" s="1" t="n"/>
      <c r="B72" s="1" t="n"/>
      <c r="C72" s="1" t="n"/>
      <c r="D72" s="1" t="n"/>
      <c r="E72" s="1" t="n"/>
      <c r="F72" s="50" t="n"/>
    </row>
    <row r="73">
      <c r="A73" s="1" t="n"/>
      <c r="B73" s="1" t="n"/>
      <c r="C73" s="1" t="n"/>
      <c r="D73" s="1" t="n"/>
      <c r="E73" s="1" t="n"/>
      <c r="F73" s="50" t="n"/>
    </row>
    <row r="74" ht="14.25" customFormat="1" customHeight="1" s="101">
      <c r="A74" s="1" t="n"/>
      <c r="B74" s="1" t="n"/>
      <c r="C74" s="1" t="n"/>
      <c r="D74" s="1" t="n"/>
      <c r="E74" s="1" t="n"/>
      <c r="F74" s="50" t="n"/>
    </row>
    <row r="75">
      <c r="A75" s="1" t="n"/>
      <c r="B75" s="1" t="n"/>
      <c r="C75" s="1" t="n"/>
      <c r="D75" s="1" t="n"/>
      <c r="E75" s="1" t="n"/>
      <c r="F75" s="50" t="n"/>
    </row>
    <row r="76">
      <c r="A76" s="1" t="n"/>
      <c r="B76" s="1" t="n"/>
      <c r="C76" s="1" t="n"/>
      <c r="D76" s="1" t="n"/>
      <c r="E76" s="1" t="n"/>
      <c r="F76" s="50" t="n"/>
    </row>
    <row r="77" ht="14.25" customFormat="1" customHeight="1" s="105">
      <c r="A77" s="1" t="n"/>
      <c r="B77" s="1" t="n"/>
      <c r="C77" s="1" t="n"/>
      <c r="D77" s="1" t="n"/>
      <c r="E77" s="1" t="n"/>
      <c r="F77" s="50" t="n"/>
    </row>
    <row r="80" customFormat="1" s="107">
      <c r="A80" s="3" t="n"/>
      <c r="B80" s="3" t="n"/>
      <c r="C80" s="3" t="n"/>
      <c r="D80" s="3" t="n"/>
      <c r="E80" s="3" t="n"/>
      <c r="F80" s="108" t="n"/>
    </row>
    <row r="81" customFormat="1" s="107">
      <c r="A81" s="3" t="n"/>
      <c r="B81" s="3" t="n"/>
      <c r="C81" s="3" t="n"/>
      <c r="D81" s="3" t="n"/>
      <c r="E81" s="3" t="n"/>
      <c r="F81" s="108" t="n"/>
    </row>
    <row r="82" customFormat="1" s="107">
      <c r="A82" s="3" t="n"/>
      <c r="B82" s="3" t="n"/>
      <c r="C82" s="3" t="n"/>
      <c r="D82" s="3" t="n"/>
      <c r="E82" s="3" t="n"/>
      <c r="F82" s="108" t="n"/>
    </row>
    <row r="83" customFormat="1" s="105">
      <c r="A83" s="3" t="n"/>
      <c r="B83" s="3" t="n"/>
      <c r="C83" s="3" t="n"/>
      <c r="D83" s="3" t="n"/>
      <c r="E83" s="3" t="n"/>
      <c r="F83" s="108" t="n"/>
    </row>
    <row r="84" customFormat="1" s="107">
      <c r="A84" s="3" t="n"/>
      <c r="B84" s="3" t="n"/>
      <c r="C84" s="3" t="n"/>
      <c r="D84" s="3" t="n"/>
      <c r="E84" s="3" t="n"/>
      <c r="F84" s="108" t="n"/>
    </row>
    <row r="86" hidden="1"/>
    <row r="87" hidden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2026-02-05T13:19:23Z</dcterms:modified>
</cp:coreProperties>
</file>